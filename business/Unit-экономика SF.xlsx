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esktop/"/>
    </mc:Choice>
  </mc:AlternateContent>
  <xr:revisionPtr revIDLastSave="0" documentId="13_ncr:1_{62E7C5B8-44AD-B74E-8003-7514BAFAC9C5}" xr6:coauthVersionLast="47" xr6:coauthVersionMax="47" xr10:uidLastSave="{00000000-0000-0000-0000-000000000000}"/>
  <bookViews>
    <workbookView xWindow="0" yWindow="780" windowWidth="34200" windowHeight="19280" activeTab="1" xr2:uid="{1A5295EC-672E-F049-A560-671E5B481390}"/>
  </bookViews>
  <sheets>
    <sheet name="unit экономика" sheetId="1" r:id="rId1"/>
    <sheet name="Прайс лист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1" l="1"/>
  <c r="B35" i="1"/>
  <c r="C4" i="1"/>
  <c r="B16" i="1" s="1"/>
  <c r="D4" i="1"/>
  <c r="B15" i="1" s="1"/>
  <c r="B11" i="1"/>
  <c r="G32" i="3"/>
  <c r="F32" i="3"/>
  <c r="E32" i="3"/>
  <c r="D32" i="3"/>
  <c r="C32" i="3"/>
  <c r="G31" i="3"/>
  <c r="F31" i="3"/>
  <c r="E31" i="3"/>
  <c r="D31" i="3"/>
  <c r="C31" i="3"/>
  <c r="G30" i="3"/>
  <c r="F30" i="3"/>
  <c r="E30" i="3"/>
  <c r="D30" i="3"/>
  <c r="C30" i="3"/>
  <c r="D27" i="3"/>
  <c r="E27" i="3"/>
  <c r="F27" i="3"/>
  <c r="G27" i="3"/>
  <c r="C27" i="3"/>
  <c r="D26" i="3"/>
  <c r="E26" i="3"/>
  <c r="F26" i="3"/>
  <c r="G26" i="3"/>
  <c r="C26" i="3"/>
  <c r="D25" i="3"/>
  <c r="E25" i="3"/>
  <c r="F25" i="3"/>
  <c r="G25" i="3"/>
  <c r="C25" i="3"/>
  <c r="D29" i="3"/>
  <c r="E29" i="3"/>
  <c r="F29" i="3"/>
  <c r="G29" i="3"/>
  <c r="C29" i="3"/>
  <c r="D24" i="3"/>
  <c r="E24" i="3"/>
  <c r="F24" i="3"/>
  <c r="G24" i="3"/>
  <c r="C24" i="3"/>
  <c r="D22" i="3"/>
  <c r="E22" i="3"/>
  <c r="F22" i="3"/>
  <c r="G22" i="3"/>
  <c r="C22" i="3"/>
  <c r="B8" i="3"/>
  <c r="H15" i="3"/>
  <c r="G15" i="3"/>
  <c r="D15" i="3"/>
  <c r="C15" i="3"/>
  <c r="H19" i="3"/>
  <c r="H18" i="3"/>
  <c r="H17" i="3"/>
  <c r="H16" i="3"/>
  <c r="G16" i="3"/>
  <c r="G17" i="3"/>
  <c r="G18" i="3"/>
  <c r="G19" i="3"/>
  <c r="E15" i="3"/>
  <c r="D16" i="3"/>
  <c r="D17" i="3"/>
  <c r="D18" i="3"/>
  <c r="D19" i="3"/>
  <c r="B5" i="3"/>
  <c r="C16" i="3"/>
  <c r="C17" i="3"/>
  <c r="C18" i="3"/>
  <c r="C19" i="3"/>
  <c r="I15" i="3" l="1"/>
  <c r="E16" i="3"/>
  <c r="I18" i="3"/>
  <c r="I19" i="3"/>
  <c r="I16" i="3"/>
  <c r="I17" i="3"/>
  <c r="E19" i="3"/>
  <c r="E18" i="3"/>
  <c r="E17" i="3"/>
  <c r="B20" i="1"/>
  <c r="B22" i="1" s="1"/>
  <c r="B17" i="1"/>
  <c r="B25" i="1" l="1"/>
  <c r="B27" i="1" l="1"/>
  <c r="B26" i="1"/>
</calcChain>
</file>

<file path=xl/sharedStrings.xml><?xml version="1.0" encoding="utf-8"?>
<sst xmlns="http://schemas.openxmlformats.org/spreadsheetml/2006/main" count="70" uniqueCount="52">
  <si>
    <t>Обмены</t>
  </si>
  <si>
    <t>CAC, $</t>
  </si>
  <si>
    <t>Воронка</t>
  </si>
  <si>
    <t>Всего</t>
  </si>
  <si>
    <t>Пополнило баланс</t>
  </si>
  <si>
    <t>Пользователи</t>
  </si>
  <si>
    <t>Себестоимость генерации, $</t>
  </si>
  <si>
    <t>Затраты на платные генерации</t>
  </si>
  <si>
    <t>Затраты на бесплатные генерации</t>
  </si>
  <si>
    <t>Итого расходы</t>
  </si>
  <si>
    <t>Расходы</t>
  </si>
  <si>
    <t>UNIT - экономика</t>
  </si>
  <si>
    <t>Доходы</t>
  </si>
  <si>
    <t>Итого</t>
  </si>
  <si>
    <t>Итого доходы</t>
  </si>
  <si>
    <t>Расходы на сервер</t>
  </si>
  <si>
    <t>Net Revenue, $ в мес</t>
  </si>
  <si>
    <t>Сделали генерацию</t>
  </si>
  <si>
    <t>ROI</t>
  </si>
  <si>
    <t>Net Revenue,  ₽ в мес</t>
  </si>
  <si>
    <t>USDT =&gt; RUB</t>
  </si>
  <si>
    <t>Пакет</t>
  </si>
  <si>
    <t>Цена пакета</t>
  </si>
  <si>
    <t>Цена за шт</t>
  </si>
  <si>
    <t>Выручка</t>
  </si>
  <si>
    <t>Cryptobot</t>
  </si>
  <si>
    <t>Stars</t>
  </si>
  <si>
    <t>Цена</t>
  </si>
  <si>
    <t>1 USDT =&gt; RUB</t>
  </si>
  <si>
    <t>1 XTR =&gt; RUB (покупка)</t>
  </si>
  <si>
    <t>1 XTR =&gt; RUB (продажа)</t>
  </si>
  <si>
    <t>1 XTR =&gt; USDT</t>
  </si>
  <si>
    <t>Комиссия CryptoBot</t>
  </si>
  <si>
    <t>Комиссия CryptoBot =&gt; RUB</t>
  </si>
  <si>
    <t>Акционная цена</t>
  </si>
  <si>
    <t>Цена за штуку</t>
  </si>
  <si>
    <t>Прибыль</t>
  </si>
  <si>
    <t>Себестоимость 1 генерации</t>
  </si>
  <si>
    <t>Себестоимость</t>
  </si>
  <si>
    <t>Юкасса</t>
  </si>
  <si>
    <t>Комиссия Юкасса</t>
  </si>
  <si>
    <t>Пакет,шт</t>
  </si>
  <si>
    <t>Бесплатных генераций на юзера</t>
  </si>
  <si>
    <t>CR</t>
  </si>
  <si>
    <t>В среднем покупают генераций, шт</t>
  </si>
  <si>
    <t>Кол-во проданных генераций в мес</t>
  </si>
  <si>
    <t>Средняя выручка с пользователя</t>
  </si>
  <si>
    <t>LTV, CAC</t>
  </si>
  <si>
    <t>Клиентов</t>
  </si>
  <si>
    <t>Бюджет на привлечение</t>
  </si>
  <si>
    <t>CAC</t>
  </si>
  <si>
    <t>Выручка на платящего пользователя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</si>
</sst>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* #,##0\ &quot;₽&quot;_-;\-* #,##0\ &quot;₽&quot;_-;_-* &quot;-&quot;\ &quot;₽&quot;_-;_-@_-"/>
    <numFmt numFmtId="164" formatCode="#,##0.0\ &quot;₽&quot;"/>
    <numFmt numFmtId="165" formatCode="0.000"/>
    <numFmt numFmtId="166" formatCode="[$$-409]#,##0.00"/>
    <numFmt numFmtId="167" formatCode="0.0%"/>
    <numFmt numFmtId="168" formatCode="#,##0\ &quot;₽&quot;"/>
    <numFmt numFmtId="169" formatCode="_-* #,##0.0\ &quot;₽&quot;_-;\-* #,##0.0\ &quot;₽&quot;_-;_-* &quot;-&quot;?\ &quot;₽&quot;_-;_-@_-"/>
  </numFmts>
  <fonts count="4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rial Rounded MT Bold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2" fontId="0" fillId="0" borderId="0" xfId="0" applyNumberFormat="1"/>
    <xf numFmtId="0" fontId="0" fillId="2" borderId="0" xfId="0" applyFill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0" borderId="0" xfId="0" applyFont="1" applyAlignment="1">
      <alignment wrapText="1"/>
    </xf>
    <xf numFmtId="0" fontId="1" fillId="2" borderId="0" xfId="0" applyFont="1" applyFill="1"/>
    <xf numFmtId="166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69" fontId="0" fillId="0" borderId="0" xfId="0" applyNumberFormat="1"/>
    <xf numFmtId="169" fontId="0" fillId="0" borderId="4" xfId="0" applyNumberFormat="1" applyBorder="1"/>
    <xf numFmtId="169" fontId="0" fillId="0" borderId="6" xfId="0" applyNumberFormat="1" applyBorder="1"/>
    <xf numFmtId="164" fontId="0" fillId="0" borderId="6" xfId="0" applyNumberFormat="1" applyBorder="1"/>
    <xf numFmtId="169" fontId="0" fillId="0" borderId="7" xfId="0" applyNumberFormat="1" applyBorder="1"/>
    <xf numFmtId="0" fontId="1" fillId="0" borderId="1" xfId="0" applyFont="1" applyBorder="1"/>
    <xf numFmtId="0" fontId="0" fillId="0" borderId="3" xfId="0" applyBorder="1"/>
    <xf numFmtId="0" fontId="0" fillId="0" borderId="5" xfId="0" applyBorder="1"/>
    <xf numFmtId="164" fontId="0" fillId="0" borderId="8" xfId="0" applyNumberFormat="1" applyBorder="1"/>
    <xf numFmtId="164" fontId="0" fillId="0" borderId="10" xfId="0" applyNumberFormat="1" applyBorder="1"/>
    <xf numFmtId="0" fontId="1" fillId="0" borderId="5" xfId="0" applyFont="1" applyBorder="1"/>
    <xf numFmtId="0" fontId="1" fillId="0" borderId="6" xfId="0" applyFont="1" applyBorder="1"/>
    <xf numFmtId="0" fontId="1" fillId="0" borderId="10" xfId="0" applyFont="1" applyBorder="1"/>
    <xf numFmtId="0" fontId="1" fillId="0" borderId="7" xfId="0" applyFont="1" applyBorder="1"/>
    <xf numFmtId="0" fontId="1" fillId="5" borderId="6" xfId="0" applyFont="1" applyFill="1" applyBorder="1"/>
    <xf numFmtId="0" fontId="1" fillId="5" borderId="10" xfId="0" applyFont="1" applyFill="1" applyBorder="1"/>
    <xf numFmtId="0" fontId="1" fillId="5" borderId="7" xfId="0" applyFont="1" applyFill="1" applyBorder="1"/>
    <xf numFmtId="168" fontId="1" fillId="0" borderId="3" xfId="0" applyNumberFormat="1" applyFont="1" applyBorder="1"/>
    <xf numFmtId="168" fontId="1" fillId="0" borderId="5" xfId="0" applyNumberFormat="1" applyFont="1" applyBorder="1"/>
    <xf numFmtId="168" fontId="1" fillId="0" borderId="6" xfId="0" applyNumberFormat="1" applyFont="1" applyBorder="1"/>
    <xf numFmtId="164" fontId="0" fillId="0" borderId="0" xfId="0" applyNumberFormat="1"/>
    <xf numFmtId="0" fontId="1" fillId="5" borderId="1" xfId="0" applyFont="1" applyFill="1" applyBorder="1"/>
    <xf numFmtId="0" fontId="1" fillId="5" borderId="11" xfId="0" applyFont="1" applyFill="1" applyBorder="1"/>
    <xf numFmtId="0" fontId="1" fillId="5" borderId="9" xfId="0" applyFont="1" applyFill="1" applyBorder="1"/>
    <xf numFmtId="0" fontId="1" fillId="5" borderId="2" xfId="0" applyFont="1" applyFill="1" applyBorder="1"/>
    <xf numFmtId="0" fontId="0" fillId="0" borderId="12" xfId="0" applyBorder="1"/>
    <xf numFmtId="0" fontId="0" fillId="0" borderId="2" xfId="0" applyBorder="1"/>
    <xf numFmtId="0" fontId="1" fillId="0" borderId="12" xfId="0" applyFont="1" applyBorder="1"/>
    <xf numFmtId="0" fontId="1" fillId="0" borderId="2" xfId="0" applyFont="1" applyBorder="1"/>
    <xf numFmtId="42" fontId="0" fillId="0" borderId="12" xfId="0" applyNumberFormat="1" applyBorder="1"/>
    <xf numFmtId="42" fontId="0" fillId="0" borderId="2" xfId="0" applyNumberFormat="1" applyBorder="1"/>
    <xf numFmtId="0" fontId="0" fillId="0" borderId="1" xfId="0" applyBorder="1"/>
    <xf numFmtId="0" fontId="1" fillId="0" borderId="3" xfId="0" applyFont="1" applyBorder="1"/>
    <xf numFmtId="169" fontId="0" fillId="0" borderId="5" xfId="0" applyNumberFormat="1" applyBorder="1"/>
    <xf numFmtId="42" fontId="0" fillId="0" borderId="1" xfId="0" applyNumberFormat="1" applyBorder="1"/>
    <xf numFmtId="169" fontId="0" fillId="0" borderId="3" xfId="0" applyNumberFormat="1" applyBorder="1"/>
    <xf numFmtId="0" fontId="3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5663C-F2BB-7B41-B85F-BF9AF4C1849A}">
  <dimension ref="A1:P37"/>
  <sheetViews>
    <sheetView zoomScale="150" workbookViewId="0">
      <selection activeCell="A35" sqref="A35"/>
    </sheetView>
  </sheetViews>
  <sheetFormatPr baseColWidth="10" defaultRowHeight="16" x14ac:dyDescent="0.2"/>
  <cols>
    <col min="1" max="1" width="37.1640625" customWidth="1"/>
    <col min="2" max="2" width="12.5" customWidth="1"/>
    <col min="7" max="7" width="12.33203125" bestFit="1" customWidth="1"/>
    <col min="12" max="12" width="32" bestFit="1" customWidth="1"/>
  </cols>
  <sheetData>
    <row r="1" spans="1:16" x14ac:dyDescent="0.2">
      <c r="A1" s="50" t="s">
        <v>11</v>
      </c>
      <c r="B1" s="50"/>
      <c r="C1" s="50"/>
      <c r="D1" s="50"/>
      <c r="G1" s="51" t="s">
        <v>0</v>
      </c>
      <c r="H1" s="51"/>
      <c r="I1" s="51"/>
      <c r="J1" s="1"/>
      <c r="K1" s="1"/>
      <c r="N1" s="1"/>
      <c r="O1" s="1"/>
      <c r="P1" s="1"/>
    </row>
    <row r="2" spans="1:16" x14ac:dyDescent="0.2">
      <c r="A2" s="50"/>
      <c r="B2" s="50"/>
      <c r="C2" s="50"/>
      <c r="D2" s="50"/>
      <c r="G2" t="s">
        <v>20</v>
      </c>
      <c r="H2" s="4"/>
      <c r="I2" s="4"/>
      <c r="J2" s="4"/>
      <c r="K2" s="4"/>
      <c r="M2" s="4"/>
      <c r="N2" s="4"/>
      <c r="O2" s="4"/>
    </row>
    <row r="3" spans="1:16" ht="34" x14ac:dyDescent="0.2">
      <c r="A3" s="9" t="s">
        <v>2</v>
      </c>
      <c r="B3" s="1" t="s">
        <v>3</v>
      </c>
      <c r="C3" s="1" t="s">
        <v>17</v>
      </c>
      <c r="D3" s="1" t="s">
        <v>4</v>
      </c>
      <c r="E3" s="3"/>
      <c r="G3">
        <v>85</v>
      </c>
      <c r="M3" s="4"/>
    </row>
    <row r="4" spans="1:16" ht="17" x14ac:dyDescent="0.2">
      <c r="A4" s="3" t="s">
        <v>5</v>
      </c>
      <c r="B4">
        <v>1000</v>
      </c>
      <c r="C4">
        <f>B4*C5</f>
        <v>400</v>
      </c>
      <c r="D4">
        <f>B4*D5</f>
        <v>19</v>
      </c>
      <c r="M4" s="4"/>
    </row>
    <row r="5" spans="1:16" ht="17" x14ac:dyDescent="0.2">
      <c r="A5" s="3" t="s">
        <v>43</v>
      </c>
      <c r="B5" s="8"/>
      <c r="C5" s="8">
        <v>0.4</v>
      </c>
      <c r="D5" s="8">
        <v>1.9E-2</v>
      </c>
      <c r="E5" s="12"/>
      <c r="M5" s="4"/>
    </row>
    <row r="6" spans="1:16" ht="17" x14ac:dyDescent="0.2">
      <c r="A6" s="1" t="s">
        <v>44</v>
      </c>
      <c r="B6">
        <v>2</v>
      </c>
      <c r="M6" s="6"/>
    </row>
    <row r="7" spans="1:16" x14ac:dyDescent="0.2">
      <c r="M7" s="4"/>
    </row>
    <row r="8" spans="1:16" x14ac:dyDescent="0.2">
      <c r="A8" s="10" t="s">
        <v>10</v>
      </c>
      <c r="B8" s="10"/>
      <c r="C8" s="10"/>
      <c r="D8" s="10"/>
      <c r="M8" s="4"/>
    </row>
    <row r="9" spans="1:16" x14ac:dyDescent="0.2">
      <c r="A9" t="s">
        <v>6</v>
      </c>
      <c r="B9" s="7">
        <v>0.08</v>
      </c>
      <c r="M9" s="6"/>
    </row>
    <row r="10" spans="1:16" x14ac:dyDescent="0.2">
      <c r="A10" t="s">
        <v>42</v>
      </c>
      <c r="B10">
        <v>1</v>
      </c>
      <c r="M10" s="4"/>
    </row>
    <row r="11" spans="1:16" x14ac:dyDescent="0.2">
      <c r="A11" t="s">
        <v>1</v>
      </c>
      <c r="B11" s="7">
        <f>B10*B9</f>
        <v>0.08</v>
      </c>
      <c r="M11" s="4"/>
    </row>
    <row r="12" spans="1:16" x14ac:dyDescent="0.2">
      <c r="B12" s="7"/>
      <c r="M12" s="4"/>
    </row>
    <row r="13" spans="1:16" x14ac:dyDescent="0.2">
      <c r="M13" s="4"/>
    </row>
    <row r="14" spans="1:16" x14ac:dyDescent="0.2">
      <c r="A14" t="s">
        <v>15</v>
      </c>
      <c r="B14" s="7">
        <v>15</v>
      </c>
      <c r="M14" s="4"/>
    </row>
    <row r="15" spans="1:16" x14ac:dyDescent="0.2">
      <c r="A15" t="s">
        <v>7</v>
      </c>
      <c r="B15" s="7">
        <f>B6*B9*D4</f>
        <v>3.04</v>
      </c>
      <c r="M15" s="4"/>
    </row>
    <row r="16" spans="1:16" x14ac:dyDescent="0.2">
      <c r="A16" t="s">
        <v>8</v>
      </c>
      <c r="B16" s="7">
        <f>B11*C4</f>
        <v>32</v>
      </c>
    </row>
    <row r="17" spans="1:4" x14ac:dyDescent="0.2">
      <c r="A17" s="2" t="s">
        <v>9</v>
      </c>
      <c r="B17" s="11">
        <f>B15+B16+B14</f>
        <v>50.04</v>
      </c>
    </row>
    <row r="18" spans="1:4" x14ac:dyDescent="0.2">
      <c r="A18" s="10" t="s">
        <v>12</v>
      </c>
      <c r="B18" s="10"/>
      <c r="C18" s="10"/>
      <c r="D18" s="10"/>
    </row>
    <row r="19" spans="1:4" x14ac:dyDescent="0.2">
      <c r="A19" t="s">
        <v>46</v>
      </c>
      <c r="B19" s="7">
        <v>2</v>
      </c>
    </row>
    <row r="20" spans="1:4" x14ac:dyDescent="0.2">
      <c r="A20" t="s">
        <v>45</v>
      </c>
      <c r="B20">
        <f>B6*D4</f>
        <v>38</v>
      </c>
    </row>
    <row r="22" spans="1:4" x14ac:dyDescent="0.2">
      <c r="A22" s="2" t="s">
        <v>14</v>
      </c>
      <c r="B22" s="11">
        <f>B20*B19</f>
        <v>76</v>
      </c>
    </row>
    <row r="23" spans="1:4" x14ac:dyDescent="0.2">
      <c r="A23" s="5"/>
      <c r="B23" s="5"/>
      <c r="C23" s="5"/>
      <c r="D23" s="5"/>
    </row>
    <row r="24" spans="1:4" x14ac:dyDescent="0.2">
      <c r="A24" s="2" t="s">
        <v>13</v>
      </c>
      <c r="B24" s="7"/>
    </row>
    <row r="25" spans="1:4" x14ac:dyDescent="0.2">
      <c r="A25" s="2" t="s">
        <v>16</v>
      </c>
      <c r="B25" s="11">
        <f>B22-B17</f>
        <v>25.96</v>
      </c>
    </row>
    <row r="26" spans="1:4" x14ac:dyDescent="0.2">
      <c r="A26" s="2" t="s">
        <v>18</v>
      </c>
      <c r="B26" s="12">
        <f>B25/B17</f>
        <v>0.51878497202238216</v>
      </c>
    </row>
    <row r="27" spans="1:4" x14ac:dyDescent="0.2">
      <c r="A27" s="2" t="s">
        <v>19</v>
      </c>
      <c r="B27" s="13">
        <f>B25*G3</f>
        <v>2206.6</v>
      </c>
    </row>
    <row r="32" spans="1:4" x14ac:dyDescent="0.2">
      <c r="A32" s="2" t="s">
        <v>47</v>
      </c>
    </row>
    <row r="33" spans="1:2" x14ac:dyDescent="0.2">
      <c r="A33" t="s">
        <v>48</v>
      </c>
      <c r="B33">
        <v>31</v>
      </c>
    </row>
    <row r="34" spans="1:2" x14ac:dyDescent="0.2">
      <c r="A34" t="s">
        <v>49</v>
      </c>
      <c r="B34">
        <v>26000</v>
      </c>
    </row>
    <row r="35" spans="1:2" x14ac:dyDescent="0.2">
      <c r="A35" t="s">
        <v>50</v>
      </c>
      <c r="B35" s="14">
        <f>B34/B33</f>
        <v>838.70967741935488</v>
      </c>
    </row>
    <row r="36" spans="1:2" x14ac:dyDescent="0.2">
      <c r="A36" t="s">
        <v>24</v>
      </c>
      <c r="B36">
        <v>12000</v>
      </c>
    </row>
    <row r="37" spans="1:2" x14ac:dyDescent="0.2">
      <c r="A37" t="s">
        <v>51</v>
      </c>
      <c r="B37" s="34">
        <f>B36/B33</f>
        <v>387.09677419354841</v>
      </c>
    </row>
  </sheetData>
  <mergeCells count="2">
    <mergeCell ref="A1:D2"/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B1552-122E-D84F-9A45-195694AF8CDE}">
  <dimension ref="A1:I32"/>
  <sheetViews>
    <sheetView tabSelected="1" topLeftCell="A12" zoomScale="166" workbookViewId="0">
      <selection activeCell="J31" sqref="J31"/>
    </sheetView>
  </sheetViews>
  <sheetFormatPr baseColWidth="10" defaultRowHeight="16" x14ac:dyDescent="0.2"/>
  <cols>
    <col min="1" max="1" width="24.83203125" bestFit="1" customWidth="1"/>
    <col min="2" max="2" width="13.1640625" bestFit="1" customWidth="1"/>
    <col min="3" max="3" width="11.83203125" bestFit="1" customWidth="1"/>
    <col min="5" max="5" width="9.83203125" bestFit="1" customWidth="1"/>
    <col min="7" max="7" width="11.83203125" bestFit="1" customWidth="1"/>
  </cols>
  <sheetData>
    <row r="1" spans="1:9" x14ac:dyDescent="0.2">
      <c r="A1" s="56" t="s">
        <v>0</v>
      </c>
      <c r="B1" s="56"/>
    </row>
    <row r="2" spans="1:9" x14ac:dyDescent="0.2">
      <c r="A2" t="s">
        <v>28</v>
      </c>
      <c r="B2">
        <v>85</v>
      </c>
    </row>
    <row r="3" spans="1:9" x14ac:dyDescent="0.2">
      <c r="A3" t="s">
        <v>29</v>
      </c>
      <c r="B3">
        <v>1.105</v>
      </c>
    </row>
    <row r="4" spans="1:9" x14ac:dyDescent="0.2">
      <c r="A4" t="s">
        <v>31</v>
      </c>
      <c r="B4">
        <v>1.2999999999999999E-2</v>
      </c>
    </row>
    <row r="5" spans="1:9" x14ac:dyDescent="0.2">
      <c r="A5" t="s">
        <v>30</v>
      </c>
      <c r="B5">
        <f>B2*B4</f>
        <v>1.105</v>
      </c>
    </row>
    <row r="6" spans="1:9" x14ac:dyDescent="0.2">
      <c r="A6" t="s">
        <v>32</v>
      </c>
      <c r="B6" s="8">
        <v>0.03</v>
      </c>
    </row>
    <row r="7" spans="1:9" x14ac:dyDescent="0.2">
      <c r="A7" t="s">
        <v>33</v>
      </c>
      <c r="B7" s="8">
        <v>0.01</v>
      </c>
    </row>
    <row r="8" spans="1:9" x14ac:dyDescent="0.2">
      <c r="A8" t="s">
        <v>37</v>
      </c>
      <c r="B8" s="14">
        <f>0.08*B2</f>
        <v>6.8</v>
      </c>
    </row>
    <row r="9" spans="1:9" x14ac:dyDescent="0.2">
      <c r="A9" t="s">
        <v>40</v>
      </c>
      <c r="B9" s="8">
        <v>0.04</v>
      </c>
    </row>
    <row r="12" spans="1:9" ht="17" thickBot="1" x14ac:dyDescent="0.25"/>
    <row r="13" spans="1:9" x14ac:dyDescent="0.2">
      <c r="A13" s="19"/>
      <c r="B13" s="54" t="s">
        <v>27</v>
      </c>
      <c r="C13" s="55"/>
      <c r="D13" s="52" t="s">
        <v>24</v>
      </c>
      <c r="E13" s="53"/>
      <c r="F13" s="35" t="s">
        <v>34</v>
      </c>
      <c r="G13" s="36"/>
      <c r="H13" s="37" t="s">
        <v>24</v>
      </c>
      <c r="I13" s="38"/>
    </row>
    <row r="14" spans="1:9" ht="17" thickBot="1" x14ac:dyDescent="0.25">
      <c r="A14" s="24" t="s">
        <v>21</v>
      </c>
      <c r="B14" s="24" t="s">
        <v>22</v>
      </c>
      <c r="C14" s="25" t="s">
        <v>23</v>
      </c>
      <c r="D14" s="26" t="s">
        <v>25</v>
      </c>
      <c r="E14" s="27" t="s">
        <v>26</v>
      </c>
      <c r="F14" s="28" t="s">
        <v>22</v>
      </c>
      <c r="G14" s="28" t="s">
        <v>23</v>
      </c>
      <c r="H14" s="29" t="s">
        <v>25</v>
      </c>
      <c r="I14" s="30" t="s">
        <v>26</v>
      </c>
    </row>
    <row r="15" spans="1:9" x14ac:dyDescent="0.2">
      <c r="A15" s="20">
        <v>1</v>
      </c>
      <c r="B15" s="31">
        <v>149</v>
      </c>
      <c r="C15" s="14">
        <f t="shared" ref="C15:C19" si="0">B15/A15</f>
        <v>149</v>
      </c>
      <c r="D15" s="22">
        <f t="shared" ref="D15:D19" si="1">B15*(1-$B$6)*(1-$B$7)</f>
        <v>143.0847</v>
      </c>
      <c r="E15" s="15">
        <f t="shared" ref="E15:E19" si="2">B15/$B$3*$B$5</f>
        <v>149</v>
      </c>
      <c r="F15" s="13">
        <v>99</v>
      </c>
      <c r="G15" s="34">
        <f>F15/A15</f>
        <v>99</v>
      </c>
      <c r="H15" s="22">
        <f t="shared" ref="H15" si="3">F15*(1-$B$6)*(1-$B$7)</f>
        <v>95.069699999999997</v>
      </c>
      <c r="I15" s="15">
        <f t="shared" ref="I15" si="4">F15/$B$3*$B$5</f>
        <v>98.999999999999986</v>
      </c>
    </row>
    <row r="16" spans="1:9" x14ac:dyDescent="0.2">
      <c r="A16" s="20">
        <v>5</v>
      </c>
      <c r="B16" s="31">
        <v>649</v>
      </c>
      <c r="C16" s="14">
        <f t="shared" si="0"/>
        <v>129.80000000000001</v>
      </c>
      <c r="D16" s="22">
        <f t="shared" si="1"/>
        <v>623.23469999999998</v>
      </c>
      <c r="E16" s="15">
        <f t="shared" si="2"/>
        <v>649</v>
      </c>
      <c r="F16" s="13">
        <v>449</v>
      </c>
      <c r="G16" s="34">
        <f>F16/A16</f>
        <v>89.8</v>
      </c>
      <c r="H16" s="22">
        <f t="shared" ref="H16:H19" si="5">F16*(1-$B$6)*(1-$B$7)</f>
        <v>431.17469999999997</v>
      </c>
      <c r="I16" s="15">
        <f t="shared" ref="I16:I19" si="6">F16/$B$3*$B$5</f>
        <v>449</v>
      </c>
    </row>
    <row r="17" spans="1:9" x14ac:dyDescent="0.2">
      <c r="A17" s="20">
        <v>10</v>
      </c>
      <c r="B17" s="31">
        <v>999</v>
      </c>
      <c r="C17" s="14">
        <f t="shared" si="0"/>
        <v>99.9</v>
      </c>
      <c r="D17" s="22">
        <f t="shared" si="1"/>
        <v>959.33969999999999</v>
      </c>
      <c r="E17" s="15">
        <f t="shared" si="2"/>
        <v>999</v>
      </c>
      <c r="F17" s="13">
        <v>749</v>
      </c>
      <c r="G17" s="34">
        <f>F17/A17</f>
        <v>74.900000000000006</v>
      </c>
      <c r="H17" s="22">
        <f t="shared" si="5"/>
        <v>719.26469999999995</v>
      </c>
      <c r="I17" s="15">
        <f t="shared" si="6"/>
        <v>749</v>
      </c>
    </row>
    <row r="18" spans="1:9" x14ac:dyDescent="0.2">
      <c r="A18" s="20">
        <v>25</v>
      </c>
      <c r="B18" s="31">
        <v>1990</v>
      </c>
      <c r="C18" s="14">
        <f t="shared" si="0"/>
        <v>79.599999999999994</v>
      </c>
      <c r="D18" s="22">
        <f t="shared" si="1"/>
        <v>1910.9969999999998</v>
      </c>
      <c r="E18" s="15">
        <f t="shared" si="2"/>
        <v>1990.0000000000002</v>
      </c>
      <c r="F18" s="13">
        <v>1499</v>
      </c>
      <c r="G18" s="34">
        <f>F18/A18</f>
        <v>59.96</v>
      </c>
      <c r="H18" s="22">
        <f t="shared" si="5"/>
        <v>1439.4896999999999</v>
      </c>
      <c r="I18" s="15">
        <f t="shared" si="6"/>
        <v>1499</v>
      </c>
    </row>
    <row r="19" spans="1:9" ht="17" thickBot="1" x14ac:dyDescent="0.25">
      <c r="A19" s="21">
        <v>50</v>
      </c>
      <c r="B19" s="32">
        <v>2590</v>
      </c>
      <c r="C19" s="16">
        <f t="shared" si="0"/>
        <v>51.8</v>
      </c>
      <c r="D19" s="23">
        <f t="shared" si="1"/>
        <v>2487.1769999999997</v>
      </c>
      <c r="E19" s="18">
        <f t="shared" si="2"/>
        <v>2590</v>
      </c>
      <c r="F19" s="33">
        <v>1999</v>
      </c>
      <c r="G19" s="17">
        <f>F19/A19</f>
        <v>39.979999999999997</v>
      </c>
      <c r="H19" s="23">
        <f t="shared" si="5"/>
        <v>1919.6396999999999</v>
      </c>
      <c r="I19" s="18">
        <f t="shared" si="6"/>
        <v>1999</v>
      </c>
    </row>
    <row r="20" spans="1:9" ht="17" thickBot="1" x14ac:dyDescent="0.25"/>
    <row r="21" spans="1:9" x14ac:dyDescent="0.2">
      <c r="A21" s="19" t="s">
        <v>41</v>
      </c>
      <c r="B21" s="45"/>
      <c r="C21" s="19">
        <v>1</v>
      </c>
      <c r="D21" s="41">
        <v>5</v>
      </c>
      <c r="E21" s="41">
        <v>10</v>
      </c>
      <c r="F21" s="41">
        <v>25</v>
      </c>
      <c r="G21" s="42">
        <v>50</v>
      </c>
    </row>
    <row r="22" spans="1:9" ht="17" thickBot="1" x14ac:dyDescent="0.25">
      <c r="A22" s="24" t="s">
        <v>38</v>
      </c>
      <c r="B22" s="21"/>
      <c r="C22" s="47">
        <f>C21*$B$8</f>
        <v>6.8</v>
      </c>
      <c r="D22" s="16">
        <f t="shared" ref="D22:G22" si="7">D21*$B$8</f>
        <v>34</v>
      </c>
      <c r="E22" s="16">
        <f t="shared" si="7"/>
        <v>68</v>
      </c>
      <c r="F22" s="16">
        <f t="shared" si="7"/>
        <v>170</v>
      </c>
      <c r="G22" s="18">
        <f t="shared" si="7"/>
        <v>340</v>
      </c>
    </row>
    <row r="23" spans="1:9" x14ac:dyDescent="0.2">
      <c r="A23" s="60" t="s">
        <v>27</v>
      </c>
      <c r="B23" s="45" t="s">
        <v>22</v>
      </c>
      <c r="C23" s="48">
        <v>149</v>
      </c>
      <c r="D23" s="43">
        <v>449</v>
      </c>
      <c r="E23" s="43">
        <v>799</v>
      </c>
      <c r="F23" s="43">
        <v>1790</v>
      </c>
      <c r="G23" s="44">
        <v>2590</v>
      </c>
    </row>
    <row r="24" spans="1:9" x14ac:dyDescent="0.2">
      <c r="A24" s="58"/>
      <c r="B24" s="20" t="s">
        <v>35</v>
      </c>
      <c r="C24" s="49">
        <f>C23/C$21</f>
        <v>149</v>
      </c>
      <c r="D24" s="14">
        <f t="shared" ref="D24:G24" si="8">D23/D$21</f>
        <v>89.8</v>
      </c>
      <c r="E24" s="14">
        <f t="shared" si="8"/>
        <v>79.900000000000006</v>
      </c>
      <c r="F24" s="14">
        <f t="shared" si="8"/>
        <v>71.599999999999994</v>
      </c>
      <c r="G24" s="15">
        <f t="shared" si="8"/>
        <v>51.8</v>
      </c>
    </row>
    <row r="25" spans="1:9" x14ac:dyDescent="0.2">
      <c r="A25" s="58" t="s">
        <v>36</v>
      </c>
      <c r="B25" s="46" t="s">
        <v>25</v>
      </c>
      <c r="C25" s="49">
        <f>C23*(1-$B$6)*(1-$B$7)-C$22</f>
        <v>136.28469999999999</v>
      </c>
      <c r="D25" s="14">
        <f t="shared" ref="D25:G25" si="9">D23*(1-$B$6)*(1-$B$7)-D$22</f>
        <v>397.17469999999997</v>
      </c>
      <c r="E25" s="14">
        <f t="shared" si="9"/>
        <v>699.27969999999993</v>
      </c>
      <c r="F25" s="14">
        <f t="shared" si="9"/>
        <v>1548.9369999999999</v>
      </c>
      <c r="G25" s="15">
        <f t="shared" si="9"/>
        <v>2147.1769999999997</v>
      </c>
    </row>
    <row r="26" spans="1:9" x14ac:dyDescent="0.2">
      <c r="A26" s="58"/>
      <c r="B26" s="46" t="s">
        <v>26</v>
      </c>
      <c r="C26" s="49">
        <f>C23/$B$3*$B$5-C$22</f>
        <v>142.19999999999999</v>
      </c>
      <c r="D26" s="14">
        <f t="shared" ref="D26:G26" si="10">D23/$B$3*$B$5-D$22</f>
        <v>415</v>
      </c>
      <c r="E26" s="14">
        <f t="shared" si="10"/>
        <v>731</v>
      </c>
      <c r="F26" s="14">
        <f t="shared" si="10"/>
        <v>1620</v>
      </c>
      <c r="G26" s="15">
        <f t="shared" si="10"/>
        <v>2250</v>
      </c>
    </row>
    <row r="27" spans="1:9" ht="17" thickBot="1" x14ac:dyDescent="0.25">
      <c r="A27" s="59"/>
      <c r="B27" s="24" t="s">
        <v>39</v>
      </c>
      <c r="C27" s="47">
        <f>C23*(1-$B$9)-C$22</f>
        <v>136.23999999999998</v>
      </c>
      <c r="D27" s="16">
        <f t="shared" ref="D27:G27" si="11">D23*(1-$B$9)-D$22</f>
        <v>397.03999999999996</v>
      </c>
      <c r="E27" s="16">
        <f t="shared" si="11"/>
        <v>699.04</v>
      </c>
      <c r="F27" s="16">
        <f t="shared" si="11"/>
        <v>1548.3999999999999</v>
      </c>
      <c r="G27" s="18">
        <f t="shared" si="11"/>
        <v>2146.4</v>
      </c>
    </row>
    <row r="28" spans="1:9" x14ac:dyDescent="0.2">
      <c r="A28" s="57" t="s">
        <v>34</v>
      </c>
      <c r="B28" s="45" t="s">
        <v>22</v>
      </c>
      <c r="C28" s="45">
        <v>69</v>
      </c>
      <c r="D28" s="39">
        <v>299</v>
      </c>
      <c r="E28" s="39">
        <v>499</v>
      </c>
      <c r="F28" s="39">
        <v>999</v>
      </c>
      <c r="G28" s="40">
        <v>1490</v>
      </c>
    </row>
    <row r="29" spans="1:9" x14ac:dyDescent="0.2">
      <c r="A29" s="57"/>
      <c r="B29" s="20" t="s">
        <v>35</v>
      </c>
      <c r="C29" s="49">
        <f>C28/C$21</f>
        <v>69</v>
      </c>
      <c r="D29" s="14">
        <f t="shared" ref="D29:G29" si="12">D28/D$21</f>
        <v>59.8</v>
      </c>
      <c r="E29" s="14">
        <f t="shared" si="12"/>
        <v>49.9</v>
      </c>
      <c r="F29" s="14">
        <f t="shared" si="12"/>
        <v>39.96</v>
      </c>
      <c r="G29" s="15">
        <f t="shared" si="12"/>
        <v>29.8</v>
      </c>
    </row>
    <row r="30" spans="1:9" x14ac:dyDescent="0.2">
      <c r="A30" s="58" t="s">
        <v>36</v>
      </c>
      <c r="B30" s="46" t="s">
        <v>25</v>
      </c>
      <c r="C30" s="49">
        <f>C28*(1-$B$6)*(1-$B$7)-C$22</f>
        <v>59.460699999999989</v>
      </c>
      <c r="D30" s="14">
        <f t="shared" ref="D30:G30" si="13">D28*(1-$B$6)*(1-$B$7)-D$22</f>
        <v>253.12969999999996</v>
      </c>
      <c r="E30" s="14">
        <f t="shared" si="13"/>
        <v>411.18969999999996</v>
      </c>
      <c r="F30" s="14">
        <f t="shared" si="13"/>
        <v>789.33969999999999</v>
      </c>
      <c r="G30" s="15">
        <f t="shared" si="13"/>
        <v>1090.847</v>
      </c>
    </row>
    <row r="31" spans="1:9" x14ac:dyDescent="0.2">
      <c r="A31" s="58"/>
      <c r="B31" s="46" t="s">
        <v>26</v>
      </c>
      <c r="C31" s="49">
        <f>C28/$B$3*$B$5-C$22</f>
        <v>62.2</v>
      </c>
      <c r="D31" s="14">
        <f t="shared" ref="D31:G31" si="14">D28/$B$3*$B$5-D$22</f>
        <v>264.99999999999994</v>
      </c>
      <c r="E31" s="14">
        <f t="shared" si="14"/>
        <v>431</v>
      </c>
      <c r="F31" s="14">
        <f t="shared" si="14"/>
        <v>829</v>
      </c>
      <c r="G31" s="15">
        <f t="shared" si="14"/>
        <v>1150</v>
      </c>
    </row>
    <row r="32" spans="1:9" ht="17" thickBot="1" x14ac:dyDescent="0.25">
      <c r="A32" s="59"/>
      <c r="B32" s="24" t="s">
        <v>39</v>
      </c>
      <c r="C32" s="47">
        <f>C28*(1-$B$9)-C$22</f>
        <v>59.44</v>
      </c>
      <c r="D32" s="16">
        <f t="shared" ref="D32:G32" si="15">D28*(1-$B$9)-D$22</f>
        <v>253.03999999999996</v>
      </c>
      <c r="E32" s="16">
        <f t="shared" si="15"/>
        <v>411.03999999999996</v>
      </c>
      <c r="F32" s="16">
        <f t="shared" si="15"/>
        <v>789.04</v>
      </c>
      <c r="G32" s="18">
        <f t="shared" si="15"/>
        <v>1090.3999999999999</v>
      </c>
    </row>
  </sheetData>
  <mergeCells count="7">
    <mergeCell ref="D13:E13"/>
    <mergeCell ref="B13:C13"/>
    <mergeCell ref="A1:B1"/>
    <mergeCell ref="A28:A29"/>
    <mergeCell ref="A30:A32"/>
    <mergeCell ref="A23:A24"/>
    <mergeCell ref="A25:A27"/>
  </mergeCells>
  <conditionalFormatting sqref="C15:C1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:G2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:G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5:G1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unit экономика</vt:lpstr>
      <vt:lpstr>Прайс лист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mostvalueablep@gmail.com</dc:creator>
  <cp:lastModifiedBy>mostvalueablep@gmail.com</cp:lastModifiedBy>
  <dcterms:created xsi:type="dcterms:W3CDTF">2025-09-29T12:26:07Z</dcterms:created>
  <dcterms:modified xsi:type="dcterms:W3CDTF">2025-12-26T16:16:04Z</dcterms:modified>
</cp:coreProperties>
</file>